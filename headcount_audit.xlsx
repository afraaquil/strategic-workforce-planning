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62F2EA19-DA3B-44AE-A8B9-F4F2396655CC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eadcount audit" sheetId="1" r:id="rId1"/>
    <sheet name="span of control" sheetId="2" r:id="rId2"/>
    <sheet name="Vacancy cost" sheetId="3" r:id="rId3"/>
    <sheet name="Scenario Planne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E6" i="4"/>
  <c r="D7" i="4"/>
  <c r="D8" i="4"/>
  <c r="D6" i="4"/>
  <c r="G7" i="4"/>
  <c r="G8" i="4"/>
  <c r="F7" i="4"/>
  <c r="F8" i="4"/>
  <c r="G6" i="4"/>
  <c r="E7" i="4"/>
  <c r="E8" i="4"/>
  <c r="C7" i="4"/>
  <c r="C8" i="4"/>
  <c r="C6" i="4"/>
  <c r="F8" i="3"/>
  <c r="F3" i="3"/>
  <c r="F4" i="3"/>
  <c r="F5" i="3"/>
  <c r="F6" i="3"/>
  <c r="F7" i="3"/>
  <c r="F2" i="3"/>
  <c r="E3" i="3"/>
  <c r="E4" i="3"/>
  <c r="E5" i="3"/>
  <c r="E6" i="3"/>
  <c r="E7" i="3"/>
  <c r="E2" i="3"/>
  <c r="F4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" i="2"/>
  <c r="F3" i="1"/>
  <c r="F2" i="1"/>
  <c r="E2" i="1"/>
  <c r="E3" i="1"/>
  <c r="E4" i="1"/>
  <c r="D3" i="1"/>
  <c r="D4" i="1"/>
  <c r="D2" i="1"/>
</calcChain>
</file>

<file path=xl/sharedStrings.xml><?xml version="1.0" encoding="utf-8"?>
<sst xmlns="http://schemas.openxmlformats.org/spreadsheetml/2006/main" count="90" uniqueCount="58">
  <si>
    <t>Department</t>
  </si>
  <si>
    <t>Current Headcount</t>
  </si>
  <si>
    <t>Budgeted Headcount</t>
  </si>
  <si>
    <t>Variance</t>
  </si>
  <si>
    <t>Variance%</t>
  </si>
  <si>
    <t>Status</t>
  </si>
  <si>
    <t>Research &amp; Development</t>
  </si>
  <si>
    <t>Sales</t>
  </si>
  <si>
    <t>Human Resources</t>
  </si>
  <si>
    <t>Mnager ID</t>
  </si>
  <si>
    <t>Direct Reports</t>
  </si>
  <si>
    <t>RES_MGR_01</t>
  </si>
  <si>
    <t>RES_MGR_02</t>
  </si>
  <si>
    <t>RES_MGR_03</t>
  </si>
  <si>
    <t>RES_MGR_04</t>
  </si>
  <si>
    <t>RES_MGR_05</t>
  </si>
  <si>
    <t>RES_MGR_06</t>
  </si>
  <si>
    <t>RES_MGR_07</t>
  </si>
  <si>
    <t>RES_MGR_08</t>
  </si>
  <si>
    <t>RES_MGR_09</t>
  </si>
  <si>
    <t>RES_MGR_10</t>
  </si>
  <si>
    <t>RES_MGR_11</t>
  </si>
  <si>
    <t>RES_MGR_12</t>
  </si>
  <si>
    <t>SAL_MGR_01</t>
  </si>
  <si>
    <t>SAL_MGR_02</t>
  </si>
  <si>
    <t>SAL_MGR_03</t>
  </si>
  <si>
    <t>SAL_MGR_04</t>
  </si>
  <si>
    <t>SAL_MGR_05</t>
  </si>
  <si>
    <t>SAL_MGR_06</t>
  </si>
  <si>
    <t>SAL_MGR_07</t>
  </si>
  <si>
    <t>SAL_MGR_08</t>
  </si>
  <si>
    <t>HUM_MGR_01</t>
  </si>
  <si>
    <t>HUM_MGR_02</t>
  </si>
  <si>
    <t>HUM_MGR_03</t>
  </si>
  <si>
    <t>Job Role</t>
  </si>
  <si>
    <t>Annual Salary ($)</t>
  </si>
  <si>
    <t>Days Vacant</t>
  </si>
  <si>
    <t>Daily Cost ($)</t>
  </si>
  <si>
    <t>Total Vacancy Cost ($)</t>
  </si>
  <si>
    <t>Manufacturing Director</t>
  </si>
  <si>
    <t>Sales Manager</t>
  </si>
  <si>
    <t>Research Scientist</t>
  </si>
  <si>
    <t>Laboratory Technician</t>
  </si>
  <si>
    <t>Sales Executive</t>
  </si>
  <si>
    <t>HR Specialist</t>
  </si>
  <si>
    <t>ASSUMPTIONS</t>
  </si>
  <si>
    <t>Avg Annual Salary($)</t>
  </si>
  <si>
    <t>Cost per Hire($)</t>
  </si>
  <si>
    <t>Scenario</t>
  </si>
  <si>
    <t>New Hires</t>
  </si>
  <si>
    <t>Annual salary cost($)</t>
  </si>
  <si>
    <t>Hiring Cost($)</t>
  </si>
  <si>
    <t>Grand Cost($)</t>
  </si>
  <si>
    <t>Grand total($)</t>
  </si>
  <si>
    <t>Monthly cost($)</t>
  </si>
  <si>
    <t>Conservative</t>
  </si>
  <si>
    <t>moderate</t>
  </si>
  <si>
    <t>aggressive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</si>
</sst>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10" fontId="0" fillId="0" borderId="0" xfId="0" applyNumberFormat="1"/>
    <xf numFmtId="0" fontId="0" fillId="3" borderId="0" xfId="0" applyFill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2" borderId="0" xfId="0" applyFill="1"/>
    <xf numFmtId="164" fontId="0" fillId="0" borderId="0" xfId="0" applyNumberFormat="1"/>
    <xf numFmtId="164" fontId="1" fillId="2" borderId="0" xfId="0" applyNumberFormat="1" applyFont="1" applyFill="1"/>
    <xf numFmtId="164" fontId="0" fillId="3" borderId="0" xfId="0" applyNumberFormat="1" applyFill="1"/>
    <xf numFmtId="164" fontId="2" fillId="6" borderId="0" xfId="0" applyNumberFormat="1" applyFont="1" applyFill="1"/>
    <xf numFmtId="0" fontId="0" fillId="4" borderId="0" xfId="0" applyFill="1"/>
    <xf numFmtId="0" fontId="0" fillId="5" borderId="0" xfId="0" applyFill="1"/>
    <xf numFmtId="164" fontId="1" fillId="7" borderId="0" xfId="0" applyNumberFormat="1" applyFont="1" applyFill="1"/>
    <xf numFmtId="164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'Headcount audit'!$B$1</c:f>
              <c:strCache>
                <c:ptCount val="1"/>
                <c:pt idx="0">
                  <c:v>Current Headcount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'Headcount audit'!$B$2:$B$4</c:f>
              <c:numCache>
                <c:formatCode>General</c:formatCode>
                <c:ptCount val="3"/>
                <c:pt idx="0">
                  <c:v>961</c:v>
                </c:pt>
                <c:pt idx="1">
                  <c:v>446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6-45E0-8EF1-36138EC64BF3}"/>
            </c:ext>
          </c:extLst>
        </c:ser>
        <c:ser>
          <c:idx val="1"/>
          <c:order val="1"/>
          <c:tx>
            <c:strRef>
              <c:f>'Headcount audit'!$C$1</c:f>
              <c:strCache>
                <c:ptCount val="1"/>
                <c:pt idx="0">
                  <c:v>Budgeted Headcount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'Headcount audit'!$C$2:$C$4</c:f>
              <c:numCache>
                <c:formatCode>General</c:formatCode>
                <c:ptCount val="3"/>
                <c:pt idx="0">
                  <c:v>1050</c:v>
                </c:pt>
                <c:pt idx="1">
                  <c:v>400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56-45E0-8EF1-36138EC64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9286919"/>
        <c:axId val="797467655"/>
      </c:barChart>
      <c:catAx>
        <c:axId val="42928691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467655"/>
        <c:crosses val="autoZero"/>
        <c:auto val="1"/>
        <c:lblAlgn val="ctr"/>
        <c:lblOffset val="100"/>
        <c:noMultiLvlLbl val="0"/>
      </c:catAx>
      <c:valAx>
        <c:axId val="797467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286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Manager span of Control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'span of control'!$C$1</c:f>
              <c:strCache>
                <c:ptCount val="1"/>
                <c:pt idx="0">
                  <c:v>Direct Reports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'span of control'!$A$2:$A$24</c:f>
              <c:strCache>
                <c:ptCount val="23"/>
                <c:pt idx="0">
                  <c:v>RES_MGR_01</c:v>
                </c:pt>
                <c:pt idx="1">
                  <c:v>RES_MGR_02</c:v>
                </c:pt>
                <c:pt idx="2">
                  <c:v>RES_MGR_03</c:v>
                </c:pt>
                <c:pt idx="3">
                  <c:v>RES_MGR_04</c:v>
                </c:pt>
                <c:pt idx="4">
                  <c:v>RES_MGR_05</c:v>
                </c:pt>
                <c:pt idx="5">
                  <c:v>RES_MGR_06</c:v>
                </c:pt>
                <c:pt idx="6">
                  <c:v>RES_MGR_07</c:v>
                </c:pt>
                <c:pt idx="7">
                  <c:v>RES_MGR_08</c:v>
                </c:pt>
                <c:pt idx="8">
                  <c:v>RES_MGR_09</c:v>
                </c:pt>
                <c:pt idx="9">
                  <c:v>RES_MGR_10</c:v>
                </c:pt>
                <c:pt idx="10">
                  <c:v>RES_MGR_11</c:v>
                </c:pt>
                <c:pt idx="11">
                  <c:v>RES_MGR_12</c:v>
                </c:pt>
                <c:pt idx="12">
                  <c:v>SAL_MGR_01</c:v>
                </c:pt>
                <c:pt idx="13">
                  <c:v>SAL_MGR_02</c:v>
                </c:pt>
                <c:pt idx="14">
                  <c:v>SAL_MGR_03</c:v>
                </c:pt>
                <c:pt idx="15">
                  <c:v>SAL_MGR_04</c:v>
                </c:pt>
                <c:pt idx="16">
                  <c:v>SAL_MGR_05</c:v>
                </c:pt>
                <c:pt idx="17">
                  <c:v>SAL_MGR_06</c:v>
                </c:pt>
                <c:pt idx="18">
                  <c:v>SAL_MGR_07</c:v>
                </c:pt>
                <c:pt idx="19">
                  <c:v>SAL_MGR_08</c:v>
                </c:pt>
                <c:pt idx="20">
                  <c:v>HUM_MGR_01</c:v>
                </c:pt>
                <c:pt idx="21">
                  <c:v>HUM_MGR_02</c:v>
                </c:pt>
                <c:pt idx="22">
                  <c:v>HUM_MGR_03</c:v>
                </c:pt>
              </c:strCache>
            </c:strRef>
          </c:cat>
          <c:val>
            <c:numRef>
              <c:f>'span of control'!$C$2:$C$24</c:f>
              <c:numCache>
                <c:formatCode>General</c:formatCode>
                <c:ptCount val="23"/>
                <c:pt idx="0">
                  <c:v>80</c:v>
                </c:pt>
                <c:pt idx="1">
                  <c:v>75</c:v>
                </c:pt>
                <c:pt idx="2">
                  <c:v>82</c:v>
                </c:pt>
                <c:pt idx="3">
                  <c:v>78</c:v>
                </c:pt>
                <c:pt idx="4">
                  <c:v>90</c:v>
                </c:pt>
                <c:pt idx="5">
                  <c:v>85</c:v>
                </c:pt>
                <c:pt idx="6">
                  <c:v>72</c:v>
                </c:pt>
                <c:pt idx="7">
                  <c:v>88</c:v>
                </c:pt>
                <c:pt idx="8">
                  <c:v>79</c:v>
                </c:pt>
                <c:pt idx="9">
                  <c:v>83</c:v>
                </c:pt>
                <c:pt idx="10">
                  <c:v>69</c:v>
                </c:pt>
                <c:pt idx="11">
                  <c:v>80</c:v>
                </c:pt>
                <c:pt idx="12">
                  <c:v>56</c:v>
                </c:pt>
                <c:pt idx="13">
                  <c:v>48</c:v>
                </c:pt>
                <c:pt idx="14">
                  <c:v>62</c:v>
                </c:pt>
                <c:pt idx="15">
                  <c:v>55</c:v>
                </c:pt>
                <c:pt idx="16">
                  <c:v>50</c:v>
                </c:pt>
                <c:pt idx="17">
                  <c:v>58</c:v>
                </c:pt>
                <c:pt idx="18">
                  <c:v>52</c:v>
                </c:pt>
                <c:pt idx="19">
                  <c:v>65</c:v>
                </c:pt>
                <c:pt idx="20">
                  <c:v>22</c:v>
                </c:pt>
                <c:pt idx="21">
                  <c:v>20</c:v>
                </c:pt>
                <c:pt idx="2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D-4C37-AF29-C9E11549A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5677831"/>
        <c:axId val="545679879"/>
      </c:barChart>
      <c:catAx>
        <c:axId val="545677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679879"/>
        <c:crosses val="autoZero"/>
        <c:auto val="1"/>
        <c:lblAlgn val="ctr"/>
        <c:lblOffset val="100"/>
        <c:noMultiLvlLbl val="0"/>
      </c:catAx>
      <c:valAx>
        <c:axId val="545679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677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1219200</xdr:colOff>
      <xdr:row>6</xdr:row>
      <xdr:rowOff>66675</xdr:rowOff>
    </xdr:from>
    <xdr:to>
      <xdr:col>5</xdr:col>
      <xdr:colOff>438150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52161B-12EB-37F3-4CC4-5C082B013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3</xdr:row>
      <xdr:rowOff>123825</xdr:rowOff>
    </xdr:from>
    <xdr:to>
      <xdr:col>13</xdr:col>
      <xdr:colOff>28575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F5863D-C6AB-C84B-5D65-8F4270210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561975</xdr:colOff>
      <xdr:row>2</xdr:row>
      <xdr:rowOff>76200</xdr:rowOff>
    </xdr:from>
    <xdr:to>
      <xdr:col>11</xdr:col>
      <xdr:colOff>85725</xdr:colOff>
      <xdr:row>3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8E89E-6C47-0D66-9403-F4FAC8183E0F}"/>
            </a:ext>
            <a:ext uri="{147F2762-F138-4A5C-976F-8EAC2B608ADB}">
              <a16:predDERef xmlns:a16="http://schemas.microsoft.com/office/drawing/2014/main" pred="{15F5863D-C6AB-C84B-5D65-8F4270210B83}"/>
            </a:ext>
          </a:extLst>
        </xdr:cNvPr>
        <xdr:cNvSpPr txBox="1"/>
      </xdr:nvSpPr>
      <xdr:spPr>
        <a:xfrm>
          <a:off x="6257925" y="457200"/>
          <a:ext cx="257175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solidFill>
                <a:srgbClr val="C00000"/>
              </a:solidFill>
              <a:latin typeface="+mn-lt"/>
              <a:ea typeface="+mn-lt"/>
              <a:cs typeface="+mn-lt"/>
            </a:rPr>
            <a:t>Ideal Range: 5-8 reports per manager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A12" sqref="A12"/>
    </sheetView>
  </sheetViews>
  <sheetFormatPr defaultRowHeight="15"/>
  <cols>
    <col min="1" max="1" width="23" bestFit="1" customWidth="1"/>
    <col min="2" max="2" width="17.5703125" bestFit="1" customWidth="1"/>
    <col min="3" max="3" width="19.28515625" bestFit="1" customWidth="1"/>
    <col min="5" max="5" width="10" bestFit="1" customWidth="1"/>
    <col min="6" max="6" width="36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961</v>
      </c>
      <c r="C2">
        <v>1050</v>
      </c>
      <c r="D2">
        <f>C2-B2</f>
        <v>89</v>
      </c>
      <c r="E2" s="2">
        <f>D2/C2</f>
        <v>8.4761904761904761E-2</v>
      </c>
      <c r="F2" s="4" t="str">
        <f>IF(E2&gt;0.2,"UNDERSTAFFED",IF(E2&lt;-0.2, "OVERSTAFFED", "BALANCED"))</f>
        <v>BALANCED</v>
      </c>
    </row>
    <row r="3" spans="1:6">
      <c r="A3" t="s">
        <v>7</v>
      </c>
      <c r="B3">
        <v>446</v>
      </c>
      <c r="C3">
        <v>400</v>
      </c>
      <c r="D3">
        <f t="shared" ref="D3:D4" si="0">C3-B3</f>
        <v>-46</v>
      </c>
      <c r="E3" s="2">
        <f t="shared" ref="E3:E4" si="1">D3/C3</f>
        <v>-0.115</v>
      </c>
      <c r="F3" s="4" t="str">
        <f t="shared" ref="F3:F4" si="2">IF(E3&gt;0.2,"UNDERSTAFFED",IF(E3&lt;-0.2, "OVERSTAFFED", "BALANCED"))</f>
        <v>BALANCED</v>
      </c>
    </row>
    <row r="4" spans="1:6">
      <c r="A4" t="s">
        <v>8</v>
      </c>
      <c r="B4">
        <v>63</v>
      </c>
      <c r="C4">
        <v>80</v>
      </c>
      <c r="D4">
        <f t="shared" si="0"/>
        <v>17</v>
      </c>
      <c r="E4" s="2">
        <f t="shared" si="1"/>
        <v>0.21249999999999999</v>
      </c>
      <c r="F4" s="5" t="str">
        <f>IF(E4&gt;0.2,"UNDERSTAFFED",IF(E4&lt;-0.2, "OVERSTAFFED", "BALANCED"))</f>
        <v>UNDERSTAFFED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5FC1F-C3EA-4BB7-BD79-B06102C1D869}">
  <dimension ref="A1:D24"/>
  <sheetViews>
    <sheetView workbookViewId="0">
      <selection activeCell="E22" sqref="E22"/>
    </sheetView>
  </sheetViews>
  <sheetFormatPr defaultRowHeight="15"/>
  <cols>
    <col min="1" max="1" width="14" bestFit="1" customWidth="1"/>
    <col min="2" max="2" width="23" bestFit="1" customWidth="1"/>
    <col min="3" max="3" width="13.42578125" bestFit="1" customWidth="1"/>
    <col min="4" max="4" width="16.7109375" customWidth="1"/>
  </cols>
  <sheetData>
    <row r="1" spans="1:4">
      <c r="A1" s="1" t="s">
        <v>9</v>
      </c>
      <c r="B1" s="1" t="s">
        <v>0</v>
      </c>
      <c r="C1" s="1" t="s">
        <v>10</v>
      </c>
      <c r="D1" s="1" t="s">
        <v>5</v>
      </c>
    </row>
    <row r="2" spans="1:4">
      <c r="A2" t="s">
        <v>11</v>
      </c>
      <c r="B2" t="s">
        <v>6</v>
      </c>
      <c r="C2">
        <v>80</v>
      </c>
      <c r="D2" s="3" t="str">
        <f>IF(C2&gt;10,"OVERLOADED",IF(C2&lt;3,"UNDERLEVERAGED","OPTIMAL"))</f>
        <v>OVERLOADED</v>
      </c>
    </row>
    <row r="3" spans="1:4">
      <c r="A3" t="s">
        <v>12</v>
      </c>
      <c r="B3" t="s">
        <v>6</v>
      </c>
      <c r="C3">
        <v>75</v>
      </c>
      <c r="D3" s="3" t="str">
        <f t="shared" ref="D3:D24" si="0">IF(C3&gt;10,"OVERLOADED",IF(C3&lt;3,"UNDERLEVERAGED","OPTIMAL"))</f>
        <v>OVERLOADED</v>
      </c>
    </row>
    <row r="4" spans="1:4">
      <c r="A4" t="s">
        <v>13</v>
      </c>
      <c r="B4" t="s">
        <v>6</v>
      </c>
      <c r="C4">
        <v>82</v>
      </c>
      <c r="D4" s="3" t="str">
        <f t="shared" si="0"/>
        <v>OVERLOADED</v>
      </c>
    </row>
    <row r="5" spans="1:4">
      <c r="A5" t="s">
        <v>14</v>
      </c>
      <c r="B5" t="s">
        <v>6</v>
      </c>
      <c r="C5">
        <v>78</v>
      </c>
      <c r="D5" s="3" t="str">
        <f t="shared" si="0"/>
        <v>OVERLOADED</v>
      </c>
    </row>
    <row r="6" spans="1:4">
      <c r="A6" t="s">
        <v>15</v>
      </c>
      <c r="B6" t="s">
        <v>6</v>
      </c>
      <c r="C6">
        <v>90</v>
      </c>
      <c r="D6" s="3" t="str">
        <f t="shared" si="0"/>
        <v>OVERLOADED</v>
      </c>
    </row>
    <row r="7" spans="1:4">
      <c r="A7" t="s">
        <v>16</v>
      </c>
      <c r="B7" t="s">
        <v>6</v>
      </c>
      <c r="C7">
        <v>85</v>
      </c>
      <c r="D7" s="3" t="str">
        <f t="shared" si="0"/>
        <v>OVERLOADED</v>
      </c>
    </row>
    <row r="8" spans="1:4">
      <c r="A8" t="s">
        <v>17</v>
      </c>
      <c r="B8" t="s">
        <v>6</v>
      </c>
      <c r="C8">
        <v>72</v>
      </c>
      <c r="D8" s="3" t="str">
        <f t="shared" si="0"/>
        <v>OVERLOADED</v>
      </c>
    </row>
    <row r="9" spans="1:4">
      <c r="A9" t="s">
        <v>18</v>
      </c>
      <c r="B9" t="s">
        <v>6</v>
      </c>
      <c r="C9">
        <v>88</v>
      </c>
      <c r="D9" s="3" t="str">
        <f t="shared" si="0"/>
        <v>OVERLOADED</v>
      </c>
    </row>
    <row r="10" spans="1:4">
      <c r="A10" t="s">
        <v>19</v>
      </c>
      <c r="B10" t="s">
        <v>6</v>
      </c>
      <c r="C10">
        <v>79</v>
      </c>
      <c r="D10" s="3" t="str">
        <f t="shared" si="0"/>
        <v>OVERLOADED</v>
      </c>
    </row>
    <row r="11" spans="1:4">
      <c r="A11" t="s">
        <v>20</v>
      </c>
      <c r="B11" t="s">
        <v>6</v>
      </c>
      <c r="C11">
        <v>83</v>
      </c>
      <c r="D11" s="3" t="str">
        <f t="shared" si="0"/>
        <v>OVERLOADED</v>
      </c>
    </row>
    <row r="12" spans="1:4">
      <c r="A12" t="s">
        <v>21</v>
      </c>
      <c r="B12" t="s">
        <v>6</v>
      </c>
      <c r="C12">
        <v>69</v>
      </c>
      <c r="D12" s="3" t="str">
        <f t="shared" si="0"/>
        <v>OVERLOADED</v>
      </c>
    </row>
    <row r="13" spans="1:4">
      <c r="A13" t="s">
        <v>22</v>
      </c>
      <c r="B13" t="s">
        <v>6</v>
      </c>
      <c r="C13">
        <v>80</v>
      </c>
      <c r="D13" s="3" t="str">
        <f t="shared" si="0"/>
        <v>OVERLOADED</v>
      </c>
    </row>
    <row r="14" spans="1:4">
      <c r="A14" t="s">
        <v>23</v>
      </c>
      <c r="B14" t="s">
        <v>7</v>
      </c>
      <c r="C14">
        <v>56</v>
      </c>
      <c r="D14" s="3" t="str">
        <f t="shared" si="0"/>
        <v>OVERLOADED</v>
      </c>
    </row>
    <row r="15" spans="1:4">
      <c r="A15" t="s">
        <v>24</v>
      </c>
      <c r="B15" t="s">
        <v>7</v>
      </c>
      <c r="C15">
        <v>48</v>
      </c>
      <c r="D15" s="3" t="str">
        <f t="shared" si="0"/>
        <v>OVERLOADED</v>
      </c>
    </row>
    <row r="16" spans="1:4">
      <c r="A16" t="s">
        <v>25</v>
      </c>
      <c r="B16" t="s">
        <v>7</v>
      </c>
      <c r="C16">
        <v>62</v>
      </c>
      <c r="D16" s="3" t="str">
        <f t="shared" si="0"/>
        <v>OVERLOADED</v>
      </c>
    </row>
    <row r="17" spans="1:4">
      <c r="A17" t="s">
        <v>26</v>
      </c>
      <c r="B17" t="s">
        <v>7</v>
      </c>
      <c r="C17">
        <v>55</v>
      </c>
      <c r="D17" s="3" t="str">
        <f t="shared" si="0"/>
        <v>OVERLOADED</v>
      </c>
    </row>
    <row r="18" spans="1:4">
      <c r="A18" t="s">
        <v>27</v>
      </c>
      <c r="B18" t="s">
        <v>7</v>
      </c>
      <c r="C18">
        <v>50</v>
      </c>
      <c r="D18" s="3" t="str">
        <f t="shared" si="0"/>
        <v>OVERLOADED</v>
      </c>
    </row>
    <row r="19" spans="1:4">
      <c r="A19" t="s">
        <v>28</v>
      </c>
      <c r="B19" t="s">
        <v>7</v>
      </c>
      <c r="C19">
        <v>58</v>
      </c>
      <c r="D19" s="3" t="str">
        <f t="shared" si="0"/>
        <v>OVERLOADED</v>
      </c>
    </row>
    <row r="20" spans="1:4">
      <c r="A20" t="s">
        <v>29</v>
      </c>
      <c r="B20" t="s">
        <v>7</v>
      </c>
      <c r="C20">
        <v>52</v>
      </c>
      <c r="D20" s="3" t="str">
        <f t="shared" si="0"/>
        <v>OVERLOADED</v>
      </c>
    </row>
    <row r="21" spans="1:4">
      <c r="A21" t="s">
        <v>30</v>
      </c>
      <c r="B21" t="s">
        <v>7</v>
      </c>
      <c r="C21">
        <v>65</v>
      </c>
      <c r="D21" s="3" t="str">
        <f t="shared" si="0"/>
        <v>OVERLOADED</v>
      </c>
    </row>
    <row r="22" spans="1:4">
      <c r="A22" t="s">
        <v>31</v>
      </c>
      <c r="B22" t="s">
        <v>8</v>
      </c>
      <c r="C22">
        <v>22</v>
      </c>
      <c r="D22" s="3" t="str">
        <f t="shared" si="0"/>
        <v>OVERLOADED</v>
      </c>
    </row>
    <row r="23" spans="1:4">
      <c r="A23" t="s">
        <v>32</v>
      </c>
      <c r="B23" t="s">
        <v>8</v>
      </c>
      <c r="C23">
        <v>20</v>
      </c>
      <c r="D23" s="3" t="str">
        <f t="shared" si="0"/>
        <v>OVERLOADED</v>
      </c>
    </row>
    <row r="24" spans="1:4">
      <c r="A24" t="s">
        <v>33</v>
      </c>
      <c r="B24" t="s">
        <v>8</v>
      </c>
      <c r="C24">
        <v>21</v>
      </c>
      <c r="D24" s="3" t="str">
        <f t="shared" si="0"/>
        <v>OVERLOADED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18CB-BFDB-4686-9A74-DE9B90E3EA38}">
  <dimension ref="A1:F8"/>
  <sheetViews>
    <sheetView tabSelected="1" workbookViewId="0">
      <selection activeCell="F8" sqref="F8"/>
    </sheetView>
  </sheetViews>
  <sheetFormatPr defaultRowHeight="15"/>
  <cols>
    <col min="1" max="1" width="21.42578125" bestFit="1" customWidth="1"/>
    <col min="2" max="2" width="23" bestFit="1" customWidth="1"/>
    <col min="3" max="3" width="15.5703125" bestFit="1" customWidth="1"/>
    <col min="4" max="4" width="11.5703125" bestFit="1" customWidth="1"/>
    <col min="5" max="5" width="12.28515625" style="7" bestFit="1" customWidth="1"/>
    <col min="6" max="6" width="20.140625" style="14" bestFit="1" customWidth="1"/>
  </cols>
  <sheetData>
    <row r="1" spans="1:6">
      <c r="A1" s="1" t="s">
        <v>34</v>
      </c>
      <c r="B1" s="1" t="s">
        <v>0</v>
      </c>
      <c r="C1" s="1" t="s">
        <v>35</v>
      </c>
      <c r="D1" s="1" t="s">
        <v>36</v>
      </c>
      <c r="E1" s="8" t="s">
        <v>37</v>
      </c>
      <c r="F1" s="13" t="s">
        <v>38</v>
      </c>
    </row>
    <row r="2" spans="1:6">
      <c r="A2" t="s">
        <v>39</v>
      </c>
      <c r="B2" t="s">
        <v>6</v>
      </c>
      <c r="C2">
        <v>110000</v>
      </c>
      <c r="D2">
        <v>90</v>
      </c>
      <c r="E2" s="7">
        <f>C2/260</f>
        <v>423.07692307692309</v>
      </c>
      <c r="F2" s="14">
        <f>E2*D2</f>
        <v>38076.923076923078</v>
      </c>
    </row>
    <row r="3" spans="1:6">
      <c r="A3" t="s">
        <v>40</v>
      </c>
      <c r="B3" t="s">
        <v>7</v>
      </c>
      <c r="C3">
        <v>95000</v>
      </c>
      <c r="D3">
        <v>75</v>
      </c>
      <c r="E3" s="7">
        <f t="shared" ref="E3:E7" si="0">C3/260</f>
        <v>365.38461538461536</v>
      </c>
      <c r="F3" s="14">
        <f t="shared" ref="F3:F7" si="1">E3*D3</f>
        <v>27403.846153846152</v>
      </c>
    </row>
    <row r="4" spans="1:6">
      <c r="A4" t="s">
        <v>41</v>
      </c>
      <c r="B4" t="s">
        <v>6</v>
      </c>
      <c r="C4">
        <v>75000</v>
      </c>
      <c r="D4">
        <v>45</v>
      </c>
      <c r="E4" s="7">
        <f t="shared" si="0"/>
        <v>288.46153846153845</v>
      </c>
      <c r="F4" s="14">
        <f t="shared" si="1"/>
        <v>12980.76923076923</v>
      </c>
    </row>
    <row r="5" spans="1:6">
      <c r="A5" t="s">
        <v>42</v>
      </c>
      <c r="B5" t="s">
        <v>6</v>
      </c>
      <c r="C5">
        <v>58000</v>
      </c>
      <c r="D5">
        <v>60</v>
      </c>
      <c r="E5" s="7">
        <f t="shared" si="0"/>
        <v>223.07692307692307</v>
      </c>
      <c r="F5" s="14">
        <f t="shared" si="1"/>
        <v>13384.615384615385</v>
      </c>
    </row>
    <row r="6" spans="1:6">
      <c r="A6" t="s">
        <v>43</v>
      </c>
      <c r="B6" t="s">
        <v>7</v>
      </c>
      <c r="C6">
        <v>82000</v>
      </c>
      <c r="D6">
        <v>30</v>
      </c>
      <c r="E6" s="7">
        <f t="shared" si="0"/>
        <v>315.38461538461536</v>
      </c>
      <c r="F6" s="14">
        <f t="shared" si="1"/>
        <v>9461.538461538461</v>
      </c>
    </row>
    <row r="7" spans="1:6">
      <c r="A7" t="s">
        <v>44</v>
      </c>
      <c r="B7" t="s">
        <v>8</v>
      </c>
      <c r="C7">
        <v>55000</v>
      </c>
      <c r="D7">
        <v>20</v>
      </c>
      <c r="E7" s="7">
        <f t="shared" si="0"/>
        <v>211.53846153846155</v>
      </c>
      <c r="F7" s="14">
        <f t="shared" si="1"/>
        <v>4230.7692307692305</v>
      </c>
    </row>
    <row r="8" spans="1:6">
      <c r="F8" s="9">
        <f>SUM(F2:F7)</f>
        <v>105538.46153846155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E26F-9C0F-4131-BB91-50A98707F879}">
  <dimension ref="A1:H8"/>
  <sheetViews>
    <sheetView workbookViewId="0">
      <selection activeCell="A8" sqref="A8"/>
    </sheetView>
  </sheetViews>
  <sheetFormatPr defaultRowHeight="15"/>
  <cols>
    <col min="1" max="1" width="18.85546875" bestFit="1" customWidth="1"/>
    <col min="2" max="2" width="10.5703125" bestFit="1" customWidth="1"/>
    <col min="3" max="3" width="19" bestFit="1" customWidth="1"/>
    <col min="4" max="5" width="13" bestFit="1" customWidth="1"/>
    <col min="6" max="6" width="13.140625" bestFit="1" customWidth="1"/>
    <col min="7" max="7" width="14.7109375" bestFit="1" customWidth="1"/>
  </cols>
  <sheetData>
    <row r="1" spans="1:8">
      <c r="A1" t="s">
        <v>45</v>
      </c>
    </row>
    <row r="2" spans="1:8">
      <c r="A2" t="s">
        <v>46</v>
      </c>
      <c r="B2" s="10">
        <v>70000</v>
      </c>
    </row>
    <row r="3" spans="1:8">
      <c r="A3" t="s">
        <v>47</v>
      </c>
      <c r="B3" s="10">
        <v>5000</v>
      </c>
    </row>
    <row r="5" spans="1:8">
      <c r="A5" s="6" t="s">
        <v>48</v>
      </c>
      <c r="B5" s="6" t="s">
        <v>49</v>
      </c>
      <c r="C5" s="6" t="s">
        <v>50</v>
      </c>
      <c r="D5" s="6" t="s">
        <v>51</v>
      </c>
      <c r="E5" s="6" t="s">
        <v>52</v>
      </c>
      <c r="F5" s="6" t="s">
        <v>53</v>
      </c>
      <c r="G5" s="6" t="s">
        <v>54</v>
      </c>
      <c r="H5" s="6"/>
    </row>
    <row r="6" spans="1:8">
      <c r="A6" s="11" t="s">
        <v>55</v>
      </c>
      <c r="B6">
        <v>5</v>
      </c>
      <c r="C6" s="7">
        <f>B6*$B$2</f>
        <v>350000</v>
      </c>
      <c r="D6" s="7">
        <f>B6*$B$3</f>
        <v>25000</v>
      </c>
      <c r="E6" s="7">
        <f>C6+D6</f>
        <v>375000</v>
      </c>
      <c r="F6" s="7">
        <f>C6+D6</f>
        <v>375000</v>
      </c>
      <c r="G6" s="7">
        <f>C6/12</f>
        <v>29166.666666666668</v>
      </c>
    </row>
    <row r="7" spans="1:8">
      <c r="A7" s="12" t="s">
        <v>56</v>
      </c>
      <c r="B7">
        <v>10</v>
      </c>
      <c r="C7" s="7">
        <f t="shared" ref="C7:C8" si="0">B7*$B$2</f>
        <v>700000</v>
      </c>
      <c r="D7" s="7">
        <f t="shared" ref="D7:D8" si="1">B7*$B$3</f>
        <v>50000</v>
      </c>
      <c r="E7" s="7">
        <f t="shared" ref="E7:E8" si="2">C7+D7</f>
        <v>750000</v>
      </c>
      <c r="F7" s="7">
        <f t="shared" ref="F7:F8" si="3">C7+D7</f>
        <v>750000</v>
      </c>
      <c r="G7" s="7">
        <f t="shared" ref="G7:G8" si="4">C7/12</f>
        <v>58333.333333333336</v>
      </c>
    </row>
    <row r="8" spans="1:8">
      <c r="A8" s="3" t="s">
        <v>57</v>
      </c>
      <c r="B8">
        <v>15</v>
      </c>
      <c r="C8" s="7">
        <f t="shared" si="0"/>
        <v>1050000</v>
      </c>
      <c r="D8" s="7">
        <f t="shared" si="1"/>
        <v>75000</v>
      </c>
      <c r="E8" s="7">
        <f t="shared" si="2"/>
        <v>1125000</v>
      </c>
      <c r="F8" s="7">
        <f t="shared" si="3"/>
        <v>1125000</v>
      </c>
      <c r="G8" s="7">
        <f t="shared" si="4"/>
        <v>87500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2026-06-06T09:03:14Z</dcterms:created>
  <dcterms:modified xsi:type="dcterms:W3CDTF">2026-06-06T10:48:52Z</dcterms:modified>
  <cp:category/>
  <cp:contentStatus/>
</cp:coreProperties>
</file>